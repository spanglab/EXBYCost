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cdavis365-my.sharepoint.com/personal/kheeley_ucdavis_edu/Documents/Projects/BPDB/Python/BPDB/"/>
    </mc:Choice>
  </mc:AlternateContent>
  <xr:revisionPtr revIDLastSave="0" documentId="8_{985FB813-31F4-4DA2-AF10-C3F046691BD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Overal" sheetId="1" r:id="rId1"/>
    <sheet name="Category average" sheetId="2" r:id="rId2"/>
    <sheet name="shells" sheetId="3" r:id="rId3"/>
    <sheet name="Pomaces" sheetId="4" r:id="rId4"/>
    <sheet name="Fresh Fruits &amp; Vegetables" sheetId="5" r:id="rId5"/>
    <sheet name="Nuts, seeds and grains" sheetId="6" r:id="rId6"/>
    <sheet name="hulls" sheetId="7" r:id="rId7"/>
    <sheet name="stalks and straw" sheetId="8" r:id="rId8"/>
    <sheet name="leaves" sheetId="9" r:id="rId9"/>
    <sheet name="Woody Biomas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9" l="1"/>
  <c r="C11" i="9"/>
  <c r="B10" i="9"/>
  <c r="C10" i="9" s="1"/>
  <c r="E8" i="2" s="1"/>
  <c r="C10" i="8"/>
  <c r="C9" i="8"/>
  <c r="C2" i="8"/>
  <c r="B8" i="8" s="1"/>
  <c r="B7" i="7"/>
  <c r="C6" i="2" s="1"/>
  <c r="B6" i="6"/>
  <c r="C5" i="2" s="1"/>
  <c r="C6" i="5"/>
  <c r="C5" i="5"/>
  <c r="C4" i="5"/>
  <c r="C6" i="1" s="1"/>
  <c r="E6" i="1" s="1"/>
  <c r="C3" i="5"/>
  <c r="C2" i="5"/>
  <c r="B12" i="5" s="1"/>
  <c r="C7" i="4"/>
  <c r="C6" i="4"/>
  <c r="B5" i="4"/>
  <c r="C5" i="4" s="1"/>
  <c r="E3" i="2" s="1"/>
  <c r="C11" i="3"/>
  <c r="C10" i="3"/>
  <c r="B9" i="3"/>
  <c r="C9" i="3" s="1"/>
  <c r="E2" i="2" s="1"/>
  <c r="E9" i="2"/>
  <c r="D9" i="2"/>
  <c r="C9" i="2"/>
  <c r="A9" i="2"/>
  <c r="D8" i="2"/>
  <c r="A8" i="2"/>
  <c r="D7" i="2"/>
  <c r="A7" i="2"/>
  <c r="D6" i="2"/>
  <c r="A6" i="2"/>
  <c r="D5" i="2"/>
  <c r="A5" i="2"/>
  <c r="D4" i="2"/>
  <c r="A4" i="2"/>
  <c r="D3" i="2"/>
  <c r="A3" i="2"/>
  <c r="D2" i="2"/>
  <c r="C2" i="2"/>
  <c r="A2" i="2"/>
  <c r="F21" i="1"/>
  <c r="E21" i="1"/>
  <c r="D21" i="1"/>
  <c r="C21" i="1"/>
  <c r="A21" i="1"/>
  <c r="F20" i="1"/>
  <c r="E20" i="1"/>
  <c r="D20" i="1"/>
  <c r="C20" i="1"/>
  <c r="A20" i="1"/>
  <c r="F19" i="1"/>
  <c r="D19" i="1"/>
  <c r="C19" i="1"/>
  <c r="E19" i="1" s="1"/>
  <c r="A19" i="1"/>
  <c r="F18" i="1"/>
  <c r="D18" i="1"/>
  <c r="C18" i="1"/>
  <c r="E18" i="1" s="1"/>
  <c r="A18" i="1"/>
  <c r="F17" i="1"/>
  <c r="E17" i="1"/>
  <c r="D17" i="1"/>
  <c r="C17" i="1"/>
  <c r="A17" i="1"/>
  <c r="F16" i="1"/>
  <c r="E16" i="1"/>
  <c r="D16" i="1"/>
  <c r="C16" i="1"/>
  <c r="A16" i="1"/>
  <c r="F15" i="1"/>
  <c r="D15" i="1"/>
  <c r="C15" i="1"/>
  <c r="E15" i="1" s="1"/>
  <c r="A15" i="1"/>
  <c r="F14" i="1"/>
  <c r="E14" i="1"/>
  <c r="D14" i="1"/>
  <c r="C14" i="1"/>
  <c r="A14" i="1"/>
  <c r="F13" i="1"/>
  <c r="D13" i="1"/>
  <c r="C13" i="1"/>
  <c r="E13" i="1" s="1"/>
  <c r="A13" i="1"/>
  <c r="F12" i="1"/>
  <c r="D12" i="1"/>
  <c r="C12" i="1"/>
  <c r="E12" i="1" s="1"/>
  <c r="A12" i="1"/>
  <c r="F11" i="1"/>
  <c r="D11" i="1"/>
  <c r="C11" i="1"/>
  <c r="E11" i="1" s="1"/>
  <c r="A11" i="1"/>
  <c r="F10" i="1"/>
  <c r="D10" i="1"/>
  <c r="C10" i="1"/>
  <c r="E10" i="1" s="1"/>
  <c r="A10" i="1"/>
  <c r="F9" i="1"/>
  <c r="D9" i="1"/>
  <c r="C9" i="1"/>
  <c r="E9" i="1" s="1"/>
  <c r="A9" i="1"/>
  <c r="F8" i="1"/>
  <c r="D8" i="1"/>
  <c r="C8" i="1"/>
  <c r="E8" i="1" s="1"/>
  <c r="A8" i="1"/>
  <c r="F7" i="1"/>
  <c r="E7" i="1"/>
  <c r="D7" i="1"/>
  <c r="C7" i="1"/>
  <c r="A7" i="1"/>
  <c r="F6" i="1"/>
  <c r="D6" i="1"/>
  <c r="A6" i="1"/>
  <c r="F5" i="1"/>
  <c r="D5" i="1"/>
  <c r="C5" i="1"/>
  <c r="E5" i="1" s="1"/>
  <c r="A5" i="1"/>
  <c r="F4" i="1"/>
  <c r="D4" i="1"/>
  <c r="C4" i="1"/>
  <c r="E4" i="1" s="1"/>
  <c r="A4" i="1"/>
  <c r="F3" i="1"/>
  <c r="E3" i="1"/>
  <c r="D3" i="1"/>
  <c r="C3" i="1"/>
  <c r="A3" i="1"/>
  <c r="F2" i="1"/>
  <c r="E2" i="1"/>
  <c r="D2" i="1"/>
  <c r="C2" i="1"/>
  <c r="A2" i="1"/>
  <c r="C4" i="2" l="1"/>
  <c r="C12" i="5"/>
  <c r="E4" i="2" s="1"/>
  <c r="C8" i="8"/>
  <c r="E7" i="2" s="1"/>
  <c r="C7" i="2"/>
  <c r="C3" i="2"/>
  <c r="C6" i="6"/>
  <c r="E5" i="2" s="1"/>
  <c r="C7" i="7"/>
  <c r="E6" i="2" s="1"/>
  <c r="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1" authorId="0" shapeId="0" xr:uid="{00000000-0006-0000-0000-000001000000}">
      <text>
        <r>
          <rPr>
            <sz val="10"/>
            <rFont val="Arial"/>
            <family val="2"/>
          </rPr>
          <t>Woody biomass uses ε/τ (from measured tortuosity) instead of ε^1.5 — see Woody Biomass tab.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9" authorId="0" shapeId="0" xr:uid="{00000000-0006-0000-0100-000001000000}">
      <text>
        <r>
          <rPr>
            <sz val="10"/>
            <rFont val="Arial"/>
            <family val="2"/>
          </rPr>
          <t>Woody biomass uses ε/τ (from measured tortuosity) instead of ε^1.5 — see Woody Biomass tab.</t>
        </r>
      </text>
    </comment>
  </commentList>
</comments>
</file>

<file path=xl/sharedStrings.xml><?xml version="1.0" encoding="utf-8"?>
<sst xmlns="http://schemas.openxmlformats.org/spreadsheetml/2006/main" count="172" uniqueCount="84">
  <si>
    <t>Material</t>
  </si>
  <si>
    <t>Category</t>
  </si>
  <si>
    <t xml:space="preserve"> ε</t>
  </si>
  <si>
    <t xml:space="preserve"> ε (as reported)</t>
  </si>
  <si>
    <t>Deff/Dab (ε^1.5)</t>
  </si>
  <si>
    <t>Source</t>
  </si>
  <si>
    <t>Shells</t>
  </si>
  <si>
    <t>Pomaces</t>
  </si>
  <si>
    <t>Fresh fruits &amp; vegetables</t>
  </si>
  <si>
    <t>Nuts, seeds &amp; grains</t>
  </si>
  <si>
    <t>Stalks &amp; straw</t>
  </si>
  <si>
    <t>Leaves</t>
  </si>
  <si>
    <t>Woody biomass</t>
  </si>
  <si>
    <t>Notes</t>
  </si>
  <si>
    <t>Each row links to its category tab. ε is the midpoint value; Deff/Dab = ε^1.5 (woody biomass uses ε/τ). Hulls has no data yet. New rows added on a category tab need a row added here too.</t>
  </si>
  <si>
    <t xml:space="preserve"> ε (average)</t>
  </si>
  <si>
    <t xml:space="preserve"> ε (range)</t>
  </si>
  <si>
    <t>Deff/Dab average (ε^1.5)</t>
  </si>
  <si>
    <t>https://www.sciencedirect.com/science/article/pii/S2352186425006182</t>
  </si>
  <si>
    <t>https://doi.org/10.1016/j.conbuildmat.2021.124142</t>
  </si>
  <si>
    <t>10.1016/j.postharvbio.2018.12.016; 10.1016/j.jfoodeng.2020.109912</t>
  </si>
  <si>
    <t>https://cerealsgrains.org/publications/cc/backissues/1988/Documents/CC1988a03.html</t>
  </si>
  <si>
    <t>Hulls</t>
  </si>
  <si>
    <t>no data entered yet</t>
  </si>
  <si>
    <t>https://www.construction21.org/community/pg/pages/view/35812/; https://doi.org/10.1098/rsos.171945; https://doi.org/10.1016/j.conbuildmat.2021.124142</t>
  </si>
  <si>
    <t>https://doi.org/10.1186/s13007-018-0367-7</t>
  </si>
  <si>
    <t>10.3389/fenrg.2022.850630</t>
  </si>
  <si>
    <t>ε average and Deff/Dab link to the "average" rows on each category tab. ε range is min–max of the midpoint column. Woody biomass Deff/Dab is ε/τ, not ε^1.5.</t>
  </si>
  <si>
    <t>Porosity (ε)</t>
  </si>
  <si>
    <t>porosity midpoint</t>
  </si>
  <si>
    <t>source</t>
  </si>
  <si>
    <t>almond shell</t>
  </si>
  <si>
    <t>porosity</t>
  </si>
  <si>
    <t>Deff/D</t>
  </si>
  <si>
    <t>average</t>
  </si>
  <si>
    <t>max</t>
  </si>
  <si>
    <t>min</t>
  </si>
  <si>
    <t xml:space="preserve">grape pomace </t>
  </si>
  <si>
    <t>Midpoint</t>
  </si>
  <si>
    <t>Apple</t>
  </si>
  <si>
    <t>10.1016/j.postharvbio.2018.12.016.</t>
  </si>
  <si>
    <t>turnip</t>
  </si>
  <si>
    <t>pear</t>
  </si>
  <si>
    <t>Eggplant</t>
  </si>
  <si>
    <t>potato</t>
  </si>
  <si>
    <t>10.1016/j.jfoodeng.2020.109912.</t>
  </si>
  <si>
    <t>Average</t>
  </si>
  <si>
    <t xml:space="preserve">porosity midpoint </t>
  </si>
  <si>
    <t>Wheat kernal</t>
  </si>
  <si>
    <t>Corn kernel</t>
  </si>
  <si>
    <t>midpoint</t>
  </si>
  <si>
    <t>Data Type</t>
  </si>
  <si>
    <t>Method / Notes</t>
  </si>
  <si>
    <t>wheat straw</t>
  </si>
  <si>
    <t>0.89-0.86</t>
  </si>
  <si>
    <t>https://www.construction21.org/community/pg/pages/view/35812/</t>
  </si>
  <si>
    <t>Hemp stalks</t>
  </si>
  <si>
    <t>https://doi.org/10.1098/rsos.171945</t>
  </si>
  <si>
    <t>Grape stalks</t>
  </si>
  <si>
    <t>arabidosis leaves</t>
  </si>
  <si>
    <t>pea leaves</t>
  </si>
  <si>
    <t>https://doi.org/10.1186/s13007-018-0367-8</t>
  </si>
  <si>
    <t>tomato leaves</t>
  </si>
  <si>
    <t>https://doi.org/10.1186/s13007-018-0367-9</t>
  </si>
  <si>
    <t>oat leaves</t>
  </si>
  <si>
    <t>https://doi.org/10.1186/s13007-018-0367-10</t>
  </si>
  <si>
    <t>rice leaves</t>
  </si>
  <si>
    <t>https://doi.org/10.1186/s13007-018-0367-11</t>
  </si>
  <si>
    <t>barley leaves</t>
  </si>
  <si>
    <t>https://doi.org/10.1186/s13007-018-0367-12</t>
  </si>
  <si>
    <t>Direction</t>
  </si>
  <si>
    <t>Tortuosity (τ)</t>
  </si>
  <si>
    <t>Tortuosity  mid point (τ)</t>
  </si>
  <si>
    <t xml:space="preserve">ε/τ </t>
  </si>
  <si>
    <t>Chipped wood (isotropic avg)</t>
  </si>
  <si>
    <t>Mixed</t>
  </si>
  <si>
    <t>0.55–0.60</t>
  </si>
  <si>
    <t>2–4</t>
  </si>
  <si>
    <t>0.15–0.30</t>
  </si>
  <si>
    <t>10.3389/fenrg.2022.850630.</t>
  </si>
  <si>
    <t xml:space="preserve">poristy </t>
  </si>
  <si>
    <t>Deff/dAN</t>
  </si>
  <si>
    <t>caclualted from the average from chipped wood this time rather thatn the correlation, as that data was avaialbel</t>
  </si>
  <si>
    <t>Sorghum kernal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</si>
</sst>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b/>
      <sz val="11"/>
      <color rgb="FFFFFFFF"/>
      <name val="Calibri"/>
      <charset val="1"/>
    </font>
    <font>
      <b/>
      <sz val="11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vertical="top" wrapText="1"/>
    </xf>
    <xf numFmtId="0" fontId="0" fillId="0" borderId="7" xfId="0" applyBorder="1"/>
    <xf numFmtId="0" fontId="0" fillId="0" borderId="10" xfId="0" applyBorder="1"/>
    <xf numFmtId="0" fontId="3" fillId="0" borderId="10" xfId="0" applyFont="1" applyBorder="1"/>
    <xf numFmtId="0" fontId="2" fillId="0" borderId="5" xfId="0" applyFont="1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164" fontId="0" fillId="0" borderId="11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" fillId="2" borderId="10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7" fillId="0" borderId="0" xfId="0" applyFont="1"/>
    <xf numFmtId="0" fontId="0" fillId="0" borderId="12" xfId="0" applyBorder="1"/>
    <xf numFmtId="10" fontId="0" fillId="0" borderId="0" xfId="0" applyNumberFormat="1"/>
    <xf numFmtId="0" fontId="0" fillId="3" borderId="10" xfId="0" applyFill="1" applyBorder="1"/>
    <xf numFmtId="0" fontId="8" fillId="0" borderId="0" xfId="0" applyFont="1"/>
    <xf numFmtId="0" fontId="2" fillId="0" borderId="0" xfId="0" applyFont="1"/>
    <xf numFmtId="0" fontId="3" fillId="0" borderId="0" xfId="0" applyFont="1"/>
    <xf numFmtId="0" fontId="1" fillId="0" borderId="10" xfId="0" applyFont="1" applyBorder="1"/>
    <xf numFmtId="0" fontId="2" fillId="0" borderId="10" xfId="0" applyFont="1" applyBorder="1"/>
    <xf numFmtId="0" fontId="0" fillId="0" borderId="10" xfId="0" applyBorder="1" applyAlignment="1">
      <alignment vertical="top" wrapText="1"/>
    </xf>
    <xf numFmtId="0" fontId="2" fillId="0" borderId="10" xfId="0" applyFont="1" applyBorder="1" applyAlignment="1">
      <alignment vertical="top"/>
    </xf>
    <xf numFmtId="164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/>
    </xf>
    <xf numFmtId="0" fontId="3" fillId="0" borderId="10" xfId="0" applyFont="1" applyBorder="1" applyAlignment="1">
      <alignment vertical="top"/>
    </xf>
    <xf numFmtId="10" fontId="0" fillId="0" borderId="10" xfId="0" applyNumberFormat="1" applyBorder="1" applyAlignment="1">
      <alignment vertical="top"/>
    </xf>
    <xf numFmtId="0" fontId="1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workbookViewId="0">
      <selection activeCell="A11" sqref="A11"/>
    </sheetView>
  </sheetViews>
  <sheetFormatPr defaultColWidth="8.6328125" defaultRowHeight="14.5" x14ac:dyDescent="0.35"/>
  <cols>
    <col min="1" max="1" width="30" customWidth="1"/>
    <col min="2" max="2" width="20" customWidth="1"/>
    <col min="3" max="3" width="12" customWidth="1"/>
    <col min="4" max="4" width="14" customWidth="1"/>
    <col min="5" max="5" width="18" customWidth="1"/>
    <col min="6" max="6" width="75.26953125" bestFit="1" customWidth="1"/>
    <col min="7" max="7" width="62.90625" customWidth="1"/>
    <col min="8" max="8" width="36.6328125" customWidth="1"/>
    <col min="9" max="9" width="31.1796875" customWidth="1"/>
  </cols>
  <sheetData>
    <row r="1" spans="1:9" ht="15" customHeight="1" x14ac:dyDescent="0.35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1"/>
      <c r="H1" s="31"/>
      <c r="I1" s="31"/>
    </row>
    <row r="2" spans="1:9" ht="27.75" customHeight="1" x14ac:dyDescent="0.35">
      <c r="A2" s="35" t="str">
        <f>shells!A2</f>
        <v>almond shell</v>
      </c>
      <c r="B2" s="36" t="s">
        <v>6</v>
      </c>
      <c r="C2" s="37">
        <f>shells!C2</f>
        <v>0.63300000000000001</v>
      </c>
      <c r="D2" s="38">
        <f>shells!B2</f>
        <v>0.63300000000000001</v>
      </c>
      <c r="E2" s="37">
        <f t="shared" ref="E2:E20" si="0">C2^1.5</f>
        <v>0.50362301079279537</v>
      </c>
      <c r="F2" s="38" t="str">
        <f>shells!D2</f>
        <v>https://www.sciencedirect.com/science/article/pii/S2352186425006182</v>
      </c>
    </row>
    <row r="3" spans="1:9" ht="14.25" customHeight="1" x14ac:dyDescent="0.35">
      <c r="A3" s="35" t="str">
        <f>Pomaces!A2</f>
        <v xml:space="preserve">grape pomace </v>
      </c>
      <c r="B3" s="36" t="s">
        <v>7</v>
      </c>
      <c r="C3" s="37">
        <f>Pomaces!C2</f>
        <v>0.15</v>
      </c>
      <c r="D3" s="38">
        <f>Pomaces!B2</f>
        <v>0.15</v>
      </c>
      <c r="E3" s="37">
        <f t="shared" si="0"/>
        <v>5.8094750193111257E-2</v>
      </c>
      <c r="F3" s="38" t="str">
        <f>Pomaces!D2</f>
        <v>https://doi.org/10.1016/j.conbuildmat.2021.124142</v>
      </c>
      <c r="H3" s="32"/>
    </row>
    <row r="4" spans="1:9" ht="27.75" customHeight="1" x14ac:dyDescent="0.35">
      <c r="A4" s="35" t="str">
        <f>'Fresh Fruits &amp; Vegetables'!A2</f>
        <v>Apple</v>
      </c>
      <c r="B4" s="36" t="s">
        <v>8</v>
      </c>
      <c r="C4" s="37">
        <f>'Fresh Fruits &amp; Vegetables'!C2</f>
        <v>0.19700000000000001</v>
      </c>
      <c r="D4" s="38">
        <f>'Fresh Fruits &amp; Vegetables'!B2</f>
        <v>0.19700000000000001</v>
      </c>
      <c r="E4" s="37">
        <f t="shared" si="0"/>
        <v>8.7437823623418245E-2</v>
      </c>
      <c r="F4" s="38" t="str">
        <f>'Fresh Fruits &amp; Vegetables'!D2</f>
        <v>10.1016/j.postharvbio.2018.12.016.</v>
      </c>
      <c r="I4" s="32"/>
    </row>
    <row r="5" spans="1:9" ht="27.75" customHeight="1" x14ac:dyDescent="0.35">
      <c r="A5" s="35" t="str">
        <f>'Fresh Fruits &amp; Vegetables'!A3</f>
        <v>turnip</v>
      </c>
      <c r="B5" s="36" t="s">
        <v>8</v>
      </c>
      <c r="C5" s="37">
        <f>'Fresh Fruits &amp; Vegetables'!C3</f>
        <v>0.23300000000000001</v>
      </c>
      <c r="D5" s="38">
        <f>'Fresh Fruits &amp; Vegetables'!B3</f>
        <v>0.23300000000000001</v>
      </c>
      <c r="E5" s="37">
        <f t="shared" si="0"/>
        <v>0.11246927135889165</v>
      </c>
      <c r="F5" s="38" t="str">
        <f>'Fresh Fruits &amp; Vegetables'!D3</f>
        <v>10.1016/j.postharvbio.2018.12.016.</v>
      </c>
      <c r="I5" s="32"/>
    </row>
    <row r="6" spans="1:9" ht="14.25" customHeight="1" x14ac:dyDescent="0.35">
      <c r="A6" s="35" t="str">
        <f>'Fresh Fruits &amp; Vegetables'!A4</f>
        <v>pear</v>
      </c>
      <c r="B6" s="36" t="s">
        <v>8</v>
      </c>
      <c r="C6" s="37">
        <f>'Fresh Fruits &amp; Vegetables'!C4</f>
        <v>0.4</v>
      </c>
      <c r="D6" s="38">
        <f>'Fresh Fruits &amp; Vegetables'!B4</f>
        <v>0.4</v>
      </c>
      <c r="E6" s="37">
        <f t="shared" si="0"/>
        <v>0.25298221281347039</v>
      </c>
      <c r="F6" s="39" t="str">
        <f>'Fresh Fruits &amp; Vegetables'!D4</f>
        <v>10.1016/j.postharvbio.2018.12.016.</v>
      </c>
    </row>
    <row r="7" spans="1:9" ht="41.25" customHeight="1" x14ac:dyDescent="0.35">
      <c r="A7" s="35" t="str">
        <f>'Fresh Fruits &amp; Vegetables'!A5</f>
        <v>Eggplant</v>
      </c>
      <c r="B7" s="36" t="s">
        <v>8</v>
      </c>
      <c r="C7" s="37">
        <f>'Fresh Fruits &amp; Vegetables'!C5</f>
        <v>0.41799999999999998</v>
      </c>
      <c r="D7" s="38">
        <f>'Fresh Fruits &amp; Vegetables'!B5</f>
        <v>0.41799999999999998</v>
      </c>
      <c r="E7" s="37">
        <f t="shared" si="0"/>
        <v>0.27024920351408993</v>
      </c>
      <c r="F7" s="39" t="str">
        <f>'Fresh Fruits &amp; Vegetables'!D5</f>
        <v>10.1016/j.postharvbio.2018.12.016.</v>
      </c>
    </row>
    <row r="8" spans="1:9" ht="27.75" customHeight="1" x14ac:dyDescent="0.35">
      <c r="A8" s="35" t="str">
        <f>'Fresh Fruits &amp; Vegetables'!A6</f>
        <v>potato</v>
      </c>
      <c r="B8" s="36" t="s">
        <v>8</v>
      </c>
      <c r="C8" s="37">
        <f>'Fresh Fruits &amp; Vegetables'!C6</f>
        <v>0.05</v>
      </c>
      <c r="D8" s="38">
        <f>'Fresh Fruits &amp; Vegetables'!B6</f>
        <v>0.05</v>
      </c>
      <c r="E8" s="37">
        <f t="shared" si="0"/>
        <v>1.1180339887498949E-2</v>
      </c>
      <c r="F8" s="39" t="str">
        <f>'Fresh Fruits &amp; Vegetables'!D6</f>
        <v>10.1016/j.jfoodeng.2020.109912.</v>
      </c>
    </row>
    <row r="9" spans="1:9" ht="15" customHeight="1" x14ac:dyDescent="0.35">
      <c r="A9" s="35" t="str">
        <f>'Nuts, seeds and grains'!A2</f>
        <v>Wheat kernal</v>
      </c>
      <c r="B9" s="36" t="s">
        <v>9</v>
      </c>
      <c r="C9" s="37">
        <f>'Nuts, seeds and grains'!C2</f>
        <v>5.1999999999999998E-2</v>
      </c>
      <c r="D9" s="40">
        <f>'Nuts, seeds and grains'!B2</f>
        <v>5.1999999999999998E-2</v>
      </c>
      <c r="E9" s="37">
        <f t="shared" si="0"/>
        <v>1.1857824421031034E-2</v>
      </c>
      <c r="F9" s="39" t="str">
        <f>'Nuts, seeds and grains'!D2</f>
        <v>https://cerealsgrains.org/publications/cc/backissues/1988/Documents/CC1988a03.html</v>
      </c>
    </row>
    <row r="10" spans="1:9" ht="14.25" customHeight="1" x14ac:dyDescent="0.35">
      <c r="A10" s="35" t="str">
        <f>'Nuts, seeds and grains'!A3</f>
        <v>Corn kernel</v>
      </c>
      <c r="B10" s="38" t="s">
        <v>9</v>
      </c>
      <c r="C10" s="37">
        <f>'Nuts, seeds and grains'!C3</f>
        <v>0.125</v>
      </c>
      <c r="D10" s="40">
        <f>'Nuts, seeds and grains'!B3</f>
        <v>0.125</v>
      </c>
      <c r="E10" s="37">
        <f t="shared" si="0"/>
        <v>4.4194173824159244E-2</v>
      </c>
      <c r="F10" s="38" t="str">
        <f>'Nuts, seeds and grains'!D3</f>
        <v>https://cerealsgrains.org/publications/cc/backissues/1988/Documents/CC1988a03.html</v>
      </c>
    </row>
    <row r="11" spans="1:9" ht="14.25" customHeight="1" x14ac:dyDescent="0.35">
      <c r="A11" s="41" t="str">
        <f>'Nuts, seeds and grains'!A4</f>
        <v>Sorghum kernal</v>
      </c>
      <c r="B11" s="38" t="s">
        <v>9</v>
      </c>
      <c r="C11" s="37">
        <f>'Nuts, seeds and grains'!C4</f>
        <v>9.8000000000000004E-2</v>
      </c>
      <c r="D11" s="40">
        <f>'Nuts, seeds and grains'!B4</f>
        <v>9.8000000000000004E-2</v>
      </c>
      <c r="E11" s="37">
        <f t="shared" si="0"/>
        <v>3.0678852651297116E-2</v>
      </c>
      <c r="F11" s="38" t="str">
        <f>'Nuts, seeds and grains'!D4</f>
        <v>https://cerealsgrains.org/publications/cc/backissues/1988/Documents/CC1988a03.html</v>
      </c>
    </row>
    <row r="12" spans="1:9" ht="14.25" customHeight="1" x14ac:dyDescent="0.35">
      <c r="A12" s="35" t="str">
        <f>'stalks and straw'!A2</f>
        <v>wheat straw</v>
      </c>
      <c r="B12" s="38" t="s">
        <v>10</v>
      </c>
      <c r="C12" s="37">
        <f>'stalks and straw'!C2</f>
        <v>0.82499999999999996</v>
      </c>
      <c r="D12" s="38" t="str">
        <f>'stalks and straw'!B2</f>
        <v>0.89-0.86</v>
      </c>
      <c r="E12" s="37">
        <f t="shared" si="0"/>
        <v>0.7493434626391291</v>
      </c>
      <c r="F12" s="38" t="str">
        <f>'stalks and straw'!F2</f>
        <v>https://www.construction21.org/community/pg/pages/view/35812/</v>
      </c>
    </row>
    <row r="13" spans="1:9" ht="14.25" customHeight="1" x14ac:dyDescent="0.35">
      <c r="A13" s="35" t="str">
        <f>'stalks and straw'!A3</f>
        <v>Hemp stalks</v>
      </c>
      <c r="B13" s="38" t="s">
        <v>10</v>
      </c>
      <c r="C13" s="37">
        <f>'stalks and straw'!C3</f>
        <v>0.77</v>
      </c>
      <c r="D13" s="38">
        <f>'stalks and straw'!B3</f>
        <v>0.77</v>
      </c>
      <c r="E13" s="37">
        <f t="shared" si="0"/>
        <v>0.67567225782919338</v>
      </c>
      <c r="F13" s="38" t="str">
        <f>'stalks and straw'!F3</f>
        <v>https://doi.org/10.1098/rsos.171945</v>
      </c>
    </row>
    <row r="14" spans="1:9" ht="14.25" customHeight="1" x14ac:dyDescent="0.35">
      <c r="A14" s="35" t="str">
        <f>'stalks and straw'!A4</f>
        <v>Grape stalks</v>
      </c>
      <c r="B14" s="38" t="s">
        <v>10</v>
      </c>
      <c r="C14" s="37">
        <f>'stalks and straw'!C4</f>
        <v>0.49</v>
      </c>
      <c r="D14" s="38">
        <f>'stalks and straw'!B4</f>
        <v>0.49</v>
      </c>
      <c r="E14" s="37">
        <f t="shared" si="0"/>
        <v>0.34300000000000003</v>
      </c>
      <c r="F14" s="38" t="str">
        <f>'stalks and straw'!F4</f>
        <v>https://doi.org/10.1016/j.conbuildmat.2021.124142</v>
      </c>
    </row>
    <row r="15" spans="1:9" ht="14.25" customHeight="1" x14ac:dyDescent="0.35">
      <c r="A15" s="35" t="str">
        <f>leaves!A2</f>
        <v>arabidosis leaves</v>
      </c>
      <c r="B15" s="38" t="s">
        <v>11</v>
      </c>
      <c r="C15" s="37">
        <f>leaves!C2</f>
        <v>0.26</v>
      </c>
      <c r="D15" s="38">
        <f>leaves!B2</f>
        <v>0.26</v>
      </c>
      <c r="E15" s="37">
        <f t="shared" si="0"/>
        <v>0.13257450735341242</v>
      </c>
      <c r="F15" s="38" t="str">
        <f>leaves!D2</f>
        <v>https://doi.org/10.1186/s13007-018-0367-7</v>
      </c>
    </row>
    <row r="16" spans="1:9" ht="14.25" customHeight="1" x14ac:dyDescent="0.35">
      <c r="A16" s="35" t="str">
        <f>leaves!A3</f>
        <v>pea leaves</v>
      </c>
      <c r="B16" s="38" t="s">
        <v>11</v>
      </c>
      <c r="C16" s="37">
        <f>leaves!C3</f>
        <v>0.20499999999999999</v>
      </c>
      <c r="D16" s="38">
        <f>leaves!B3</f>
        <v>0.20499999999999999</v>
      </c>
      <c r="E16" s="37">
        <f t="shared" si="0"/>
        <v>9.2817697665908513E-2</v>
      </c>
      <c r="F16" s="38" t="str">
        <f>leaves!D3</f>
        <v>https://doi.org/10.1186/s13007-018-0367-8</v>
      </c>
    </row>
    <row r="17" spans="1:6" ht="14.25" customHeight="1" x14ac:dyDescent="0.35">
      <c r="A17" s="35" t="str">
        <f>leaves!A4</f>
        <v>tomato leaves</v>
      </c>
      <c r="B17" s="38" t="s">
        <v>11</v>
      </c>
      <c r="C17" s="37">
        <f>leaves!C4</f>
        <v>0.21099999999999999</v>
      </c>
      <c r="D17" s="38">
        <f>leaves!B4</f>
        <v>0.21099999999999999</v>
      </c>
      <c r="E17" s="37">
        <f t="shared" si="0"/>
        <v>9.6922293617103403E-2</v>
      </c>
      <c r="F17" s="38" t="str">
        <f>leaves!D4</f>
        <v>https://doi.org/10.1186/s13007-018-0367-9</v>
      </c>
    </row>
    <row r="18" spans="1:6" ht="14.25" customHeight="1" x14ac:dyDescent="0.35">
      <c r="A18" s="35" t="str">
        <f>leaves!A5</f>
        <v>oat leaves</v>
      </c>
      <c r="B18" s="38" t="s">
        <v>11</v>
      </c>
      <c r="C18" s="37">
        <f>leaves!C5</f>
        <v>0.182</v>
      </c>
      <c r="D18" s="38">
        <f>leaves!B5</f>
        <v>0.182</v>
      </c>
      <c r="E18" s="37">
        <f t="shared" si="0"/>
        <v>7.7643853588033621E-2</v>
      </c>
      <c r="F18" s="38" t="str">
        <f>leaves!D5</f>
        <v>https://doi.org/10.1186/s13007-018-0367-10</v>
      </c>
    </row>
    <row r="19" spans="1:6" ht="14.25" customHeight="1" x14ac:dyDescent="0.35">
      <c r="A19" s="35" t="str">
        <f>leaves!A6</f>
        <v>rice leaves</v>
      </c>
      <c r="B19" s="38" t="s">
        <v>11</v>
      </c>
      <c r="C19" s="37">
        <f>leaves!C6</f>
        <v>0.11799999999999999</v>
      </c>
      <c r="D19" s="38">
        <f>leaves!B6</f>
        <v>0.11799999999999999</v>
      </c>
      <c r="E19" s="37">
        <f t="shared" si="0"/>
        <v>4.0534331128069714E-2</v>
      </c>
      <c r="F19" s="38" t="str">
        <f>leaves!D6</f>
        <v>https://doi.org/10.1186/s13007-018-0367-11</v>
      </c>
    </row>
    <row r="20" spans="1:6" ht="14.25" customHeight="1" x14ac:dyDescent="0.35">
      <c r="A20" s="35" t="str">
        <f>leaves!A7</f>
        <v>barley leaves</v>
      </c>
      <c r="B20" s="38" t="s">
        <v>11</v>
      </c>
      <c r="C20" s="37">
        <f>leaves!C7</f>
        <v>0.27400000000000002</v>
      </c>
      <c r="D20" s="38">
        <f>leaves!B7</f>
        <v>0.27400000000000002</v>
      </c>
      <c r="E20" s="37">
        <f t="shared" si="0"/>
        <v>0.14342532551819431</v>
      </c>
      <c r="F20" s="38" t="str">
        <f>leaves!D7</f>
        <v>https://doi.org/10.1186/s13007-018-0367-12</v>
      </c>
    </row>
    <row r="21" spans="1:6" ht="14.25" customHeight="1" x14ac:dyDescent="0.35">
      <c r="A21" s="35" t="str">
        <f>'Woody Biomass'!A2</f>
        <v>Chipped wood (isotropic avg)</v>
      </c>
      <c r="B21" s="38" t="s">
        <v>12</v>
      </c>
      <c r="C21" s="37">
        <f>'Woody Biomass'!D2</f>
        <v>0.57499999999999996</v>
      </c>
      <c r="D21" s="38" t="str">
        <f>'Woody Biomass'!C2</f>
        <v>0.55–0.60</v>
      </c>
      <c r="E21" s="37">
        <f>'Woody Biomass'!C6</f>
        <v>0.22500000000000001</v>
      </c>
      <c r="F21" s="38" t="str">
        <f>'Woody Biomass'!H2</f>
        <v>10.3389/fenrg.2022.850630.</v>
      </c>
    </row>
    <row r="23" spans="1:6" ht="14.25" customHeight="1" x14ac:dyDescent="0.35">
      <c r="A23" s="1" t="s">
        <v>13</v>
      </c>
    </row>
    <row r="24" spans="1:6" ht="14.25" customHeight="1" x14ac:dyDescent="0.35">
      <c r="A24" t="s">
        <v>14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zoomScaleNormal="100" workbookViewId="0"/>
  </sheetViews>
  <sheetFormatPr defaultColWidth="8.6328125" defaultRowHeight="14.5" x14ac:dyDescent="0.35"/>
  <cols>
    <col min="1" max="1" width="45" customWidth="1"/>
    <col min="2" max="2" width="20" customWidth="1"/>
    <col min="3" max="3" width="12" customWidth="1"/>
    <col min="4" max="4" width="14" customWidth="1"/>
    <col min="5" max="5" width="18" customWidth="1"/>
    <col min="6" max="6" width="55" customWidth="1"/>
    <col min="7" max="7" width="62.90625" customWidth="1"/>
    <col min="8" max="8" width="36.6328125" customWidth="1"/>
    <col min="9" max="9" width="31.1796875" customWidth="1"/>
  </cols>
  <sheetData>
    <row r="1" spans="1:9" ht="15" customHeight="1" x14ac:dyDescent="0.35">
      <c r="A1" s="1" t="s">
        <v>0</v>
      </c>
      <c r="B1" s="2" t="s">
        <v>1</v>
      </c>
      <c r="C1" s="2" t="s">
        <v>15</v>
      </c>
      <c r="D1" s="2" t="s">
        <v>16</v>
      </c>
      <c r="E1" s="2" t="s">
        <v>17</v>
      </c>
      <c r="F1" s="3" t="s">
        <v>5</v>
      </c>
      <c r="G1" s="4"/>
      <c r="H1" s="4"/>
      <c r="I1" s="5"/>
    </row>
    <row r="2" spans="1:9" ht="27.75" customHeight="1" x14ac:dyDescent="0.35">
      <c r="A2" s="6" t="str">
        <f>_xlfn.TEXTJOIN(", ",TRUE(),shells!A2:A7)</f>
        <v>almond shell</v>
      </c>
      <c r="B2" s="10" t="s">
        <v>6</v>
      </c>
      <c r="C2" s="11">
        <f>IFERROR(shells!B9,"no data")</f>
        <v>0.63300000000000001</v>
      </c>
      <c r="D2" s="12" t="str">
        <f>IF(COUNT(shells!C2:C7)=0,"no data",IF(MIN(shells!C2:C7)=MAX(shells!C2:C7),TEXT(MIN(shells!C2:C7),"0.000"),TEXT(MIN(shells!C2:C7),"0.000")&amp;"–"&amp;TEXT(MAX(shells!C2:C7),"0.000")))</f>
        <v>0.633</v>
      </c>
      <c r="E2" s="11">
        <f>IFERROR(shells!C9,"no data")</f>
        <v>0.50362301079279537</v>
      </c>
      <c r="F2" s="13" t="s">
        <v>18</v>
      </c>
      <c r="G2" s="7"/>
      <c r="H2" s="7"/>
      <c r="I2" s="7"/>
    </row>
    <row r="3" spans="1:9" ht="14.25" customHeight="1" x14ac:dyDescent="0.35">
      <c r="A3" s="6" t="str">
        <f>_xlfn.TEXTJOIN(", ",TRUE(),Pomaces!A2:A3)</f>
        <v xml:space="preserve">grape pomace </v>
      </c>
      <c r="B3" s="14" t="s">
        <v>7</v>
      </c>
      <c r="C3" s="15">
        <f>IFERROR(Pomaces!B5,"no data")</f>
        <v>0.15</v>
      </c>
      <c r="D3" s="16" t="str">
        <f>IF(COUNT(Pomaces!C2:C3)=0,"no data",IF(MIN(Pomaces!C2:C3)=MAX(Pomaces!C2:C3),TEXT(MIN(Pomaces!C2:C3),"0.000"),TEXT(MIN(Pomaces!C2:C3),"0.000")&amp;"–"&amp;TEXT(MAX(Pomaces!C2:C3),"0.000")))</f>
        <v>0.150</v>
      </c>
      <c r="E3" s="15">
        <f>IFERROR(Pomaces!C5,"no data")</f>
        <v>5.8094750193111257E-2</v>
      </c>
      <c r="F3" s="17" t="s">
        <v>19</v>
      </c>
      <c r="G3" s="8"/>
      <c r="H3" s="9"/>
      <c r="I3" s="8"/>
    </row>
    <row r="4" spans="1:9" ht="27.75" customHeight="1" x14ac:dyDescent="0.35">
      <c r="A4" s="6" t="str">
        <f>_xlfn.TEXTJOIN(", ",TRUE(),'Fresh Fruits &amp; Vegetables'!A2:A10)</f>
        <v>Apple, turnip, pear, Eggplant, potato</v>
      </c>
      <c r="B4" s="14" t="s">
        <v>8</v>
      </c>
      <c r="C4" s="15">
        <f>IFERROR('Fresh Fruits &amp; Vegetables'!B12,"no data")</f>
        <v>0.2596</v>
      </c>
      <c r="D4" s="16" t="str">
        <f>IF(COUNT('Fresh Fruits &amp; Vegetables'!C2:C10)=0,"no data",IF(MIN('Fresh Fruits &amp; Vegetables'!C2:C10)=MAX('Fresh Fruits &amp; Vegetables'!C2:C10),TEXT(MIN('Fresh Fruits &amp; Vegetables'!C2:C10),"0.000"),TEXT(MIN('Fresh Fruits &amp; Vegetables'!C2:C10),"0.000")&amp;"–"&amp;TEXT(MAX('Fresh Fruits &amp; Vegetables'!C2:C10),"0.000")))</f>
        <v>0.050–0.418</v>
      </c>
      <c r="E4" s="15">
        <f>IFERROR('Fresh Fruits &amp; Vegetables'!C12,"no data")</f>
        <v>0.13226868388246704</v>
      </c>
      <c r="F4" s="17" t="s">
        <v>20</v>
      </c>
      <c r="G4" s="8"/>
      <c r="H4" s="8"/>
      <c r="I4" s="9"/>
    </row>
    <row r="5" spans="1:9" ht="27.75" customHeight="1" x14ac:dyDescent="0.35">
      <c r="A5" s="6" t="str">
        <f>_xlfn.TEXTJOIN(", ",TRUE(),'Nuts, seeds and grains'!A2:A4)</f>
        <v>Wheat kernal, Corn kernel, Sorghum kernal</v>
      </c>
      <c r="B5" s="14" t="s">
        <v>9</v>
      </c>
      <c r="C5" s="15">
        <f>IFERROR('Nuts, seeds and grains'!B6,"no data")</f>
        <v>9.1666666666666674E-2</v>
      </c>
      <c r="D5" s="16" t="str">
        <f>IF(COUNT('Nuts, seeds and grains'!C2:C4)=0,"no data",IF(MIN('Nuts, seeds and grains'!C2:C4)=MAX('Nuts, seeds and grains'!C2:C4),TEXT(MIN('Nuts, seeds and grains'!C2:C4),"0.000"),TEXT(MIN('Nuts, seeds and grains'!C2:C4),"0.000")&amp;"–"&amp;TEXT(MAX('Nuts, seeds and grains'!C2:C4),"0.000")))</f>
        <v>0.052–0.125</v>
      </c>
      <c r="E5" s="15">
        <f>IFERROR('Nuts, seeds and grains'!C6,"no data")</f>
        <v>2.7753461579227007E-2</v>
      </c>
      <c r="F5" s="17" t="s">
        <v>21</v>
      </c>
      <c r="G5" s="8"/>
      <c r="H5" s="8"/>
      <c r="I5" s="9"/>
    </row>
    <row r="6" spans="1:9" ht="14.25" customHeight="1" x14ac:dyDescent="0.35">
      <c r="A6" s="6" t="str">
        <f>_xlfn.TEXTJOIN(", ",TRUE(),hulls!A2:A5)</f>
        <v/>
      </c>
      <c r="B6" s="14" t="s">
        <v>22</v>
      </c>
      <c r="C6" s="15" t="str">
        <f>IFERROR(hulls!B7,"no data")</f>
        <v>no data</v>
      </c>
      <c r="D6" s="16" t="str">
        <f>IF(COUNT(hulls!C2:C5)=0,"no data",IF(MIN(hulls!C2:C5)=MAX(hulls!C2:C5),TEXT(MIN(hulls!C2:C5),"0.000"),TEXT(MIN(hulls!C2:C5),"0.000")&amp;"–"&amp;TEXT(MAX(hulls!C2:C5),"0.000")))</f>
        <v>no data</v>
      </c>
      <c r="E6" s="15" t="str">
        <f>IFERROR(hulls!C7,"no data")</f>
        <v>no data</v>
      </c>
      <c r="F6" s="18" t="s">
        <v>23</v>
      </c>
      <c r="G6" s="8"/>
      <c r="H6" s="8"/>
      <c r="I6" s="8"/>
    </row>
    <row r="7" spans="1:9" ht="41.25" customHeight="1" x14ac:dyDescent="0.35">
      <c r="A7" s="6" t="str">
        <f>_xlfn.TEXTJOIN(", ",TRUE(),'stalks and straw'!A2:A6)</f>
        <v>wheat straw, Hemp stalks, Grape stalks</v>
      </c>
      <c r="B7" s="14" t="s">
        <v>10</v>
      </c>
      <c r="C7" s="15">
        <f>IFERROR('stalks and straw'!B8,"no data")</f>
        <v>0.69499999999999995</v>
      </c>
      <c r="D7" s="16" t="str">
        <f>IF(COUNT('stalks and straw'!C2:C6)=0,"no data",IF(MIN('stalks and straw'!C2:C6)=MAX('stalks and straw'!C2:C6),TEXT(MIN('stalks and straw'!C2:C6),"0.000"),TEXT(MIN('stalks and straw'!C2:C6),"0.000")&amp;"–"&amp;TEXT(MAX('stalks and straw'!C2:C6),"0.000")))</f>
        <v>0.490–0.825</v>
      </c>
      <c r="E7" s="15">
        <f>IFERROR('stalks and straw'!C8,"no data")</f>
        <v>0.57939828701852403</v>
      </c>
      <c r="F7" s="18" t="s">
        <v>24</v>
      </c>
      <c r="G7" s="8"/>
      <c r="H7" s="8"/>
      <c r="I7" s="8"/>
    </row>
    <row r="8" spans="1:9" ht="27.75" customHeight="1" x14ac:dyDescent="0.35">
      <c r="A8" s="6" t="str">
        <f>_xlfn.TEXTJOIN(", ",TRUE(),leaves!A2:A8)</f>
        <v>arabidosis leaves, pea leaves, tomato leaves, oat leaves, rice leaves, barley leaves</v>
      </c>
      <c r="B8" s="14" t="s">
        <v>11</v>
      </c>
      <c r="C8" s="15">
        <f>IFERROR(leaves!B10,"no data")</f>
        <v>0.20833333333333334</v>
      </c>
      <c r="D8" s="16" t="str">
        <f>IF(COUNT(leaves!C2:C8)=0,"no data",IF(MIN(leaves!C2:C8)=MAX(leaves!C2:C8),TEXT(MIN(leaves!C2:C8),"0.000"),TEXT(MIN(leaves!C2:C8),"0.000")&amp;"–"&amp;TEXT(MAX(leaves!C2:C8),"0.000")))</f>
        <v>0.118–0.274</v>
      </c>
      <c r="E8" s="15">
        <f>IFERROR(leaves!C10,"no data")</f>
        <v>9.5090721789091365E-2</v>
      </c>
      <c r="F8" s="18" t="s">
        <v>25</v>
      </c>
      <c r="G8" s="8"/>
      <c r="H8" s="8"/>
      <c r="I8" s="8"/>
    </row>
    <row r="9" spans="1:9" ht="15" customHeight="1" x14ac:dyDescent="0.35">
      <c r="A9" s="6" t="str">
        <f>_xlfn.TEXTJOIN(", ",TRUE(),'Woody Biomass'!A2:A4)</f>
        <v>Chipped wood (isotropic avg)</v>
      </c>
      <c r="B9" s="19" t="s">
        <v>12</v>
      </c>
      <c r="C9" s="20">
        <f>IFERROR('Woody Biomass'!B6,"no data")</f>
        <v>0.57499999999999996</v>
      </c>
      <c r="D9" s="21" t="str">
        <f>'Woody Biomass'!C2</f>
        <v>0.55–0.60</v>
      </c>
      <c r="E9" s="20">
        <f>IFERROR('Woody Biomass'!C6,"no data")</f>
        <v>0.22500000000000001</v>
      </c>
      <c r="F9" s="18" t="s">
        <v>26</v>
      </c>
      <c r="G9" s="8"/>
      <c r="H9" s="8"/>
      <c r="I9" s="8"/>
    </row>
    <row r="11" spans="1:9" ht="14.25" customHeight="1" x14ac:dyDescent="0.35">
      <c r="A11" s="1" t="s">
        <v>13</v>
      </c>
    </row>
    <row r="12" spans="1:9" ht="14.25" customHeight="1" x14ac:dyDescent="0.35">
      <c r="A12" t="s">
        <v>27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E1" sqref="E1"/>
    </sheetView>
  </sheetViews>
  <sheetFormatPr defaultColWidth="8.6328125" defaultRowHeight="14.5" x14ac:dyDescent="0.35"/>
  <cols>
    <col min="1" max="1" width="11.453125" customWidth="1"/>
    <col min="4" max="4" width="61.36328125" customWidth="1"/>
  </cols>
  <sheetData>
    <row r="1" spans="1:4" ht="28.5" customHeight="1" x14ac:dyDescent="0.35">
      <c r="A1" s="22" t="s">
        <v>0</v>
      </c>
      <c r="B1" s="22" t="s">
        <v>28</v>
      </c>
      <c r="C1" s="23" t="s">
        <v>29</v>
      </c>
      <c r="D1" s="24" t="s">
        <v>30</v>
      </c>
    </row>
    <row r="2" spans="1:4" ht="14.25" customHeight="1" x14ac:dyDescent="0.35">
      <c r="A2" t="s">
        <v>31</v>
      </c>
      <c r="B2">
        <v>0.63300000000000001</v>
      </c>
      <c r="C2">
        <v>0.63300000000000001</v>
      </c>
      <c r="D2" t="s">
        <v>18</v>
      </c>
    </row>
    <row r="8" spans="1:4" ht="14.25" customHeight="1" x14ac:dyDescent="0.35">
      <c r="B8" t="s">
        <v>32</v>
      </c>
      <c r="C8" t="s">
        <v>33</v>
      </c>
    </row>
    <row r="9" spans="1:4" ht="14.25" customHeight="1" x14ac:dyDescent="0.35">
      <c r="A9" t="s">
        <v>34</v>
      </c>
      <c r="B9">
        <f>AVERAGE(C2:C5)</f>
        <v>0.63300000000000001</v>
      </c>
      <c r="C9">
        <f>B9^1.5</f>
        <v>0.50362301079279537</v>
      </c>
    </row>
    <row r="10" spans="1:4" ht="14.25" customHeight="1" x14ac:dyDescent="0.35">
      <c r="A10" t="s">
        <v>35</v>
      </c>
      <c r="B10">
        <v>0.45</v>
      </c>
      <c r="C10">
        <f>B10^1.5</f>
        <v>0.30186917696247162</v>
      </c>
    </row>
    <row r="11" spans="1:4" ht="14.25" customHeight="1" x14ac:dyDescent="0.35">
      <c r="A11" t="s">
        <v>36</v>
      </c>
      <c r="B11">
        <v>0.18</v>
      </c>
      <c r="C11">
        <f>B11^1.5</f>
        <v>7.6367532368147126E-2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selection activeCell="D7" sqref="D7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6" customWidth="1"/>
    <col min="4" max="4" width="45" customWidth="1"/>
  </cols>
  <sheetData>
    <row r="1" spans="1:4" ht="14.25" customHeight="1" x14ac:dyDescent="0.35">
      <c r="A1" s="22" t="s">
        <v>0</v>
      </c>
      <c r="B1" s="22" t="s">
        <v>28</v>
      </c>
      <c r="C1" s="23" t="s">
        <v>29</v>
      </c>
      <c r="D1" s="22" t="s">
        <v>5</v>
      </c>
    </row>
    <row r="2" spans="1:4" ht="14.25" customHeight="1" x14ac:dyDescent="0.35">
      <c r="A2" t="s">
        <v>37</v>
      </c>
      <c r="B2">
        <v>0.15</v>
      </c>
      <c r="C2">
        <v>0.15</v>
      </c>
      <c r="D2" t="s">
        <v>19</v>
      </c>
    </row>
    <row r="4" spans="1:4" ht="14.25" customHeight="1" x14ac:dyDescent="0.35">
      <c r="B4" t="s">
        <v>32</v>
      </c>
      <c r="C4" t="s">
        <v>33</v>
      </c>
    </row>
    <row r="5" spans="1:4" ht="14.25" customHeight="1" x14ac:dyDescent="0.35">
      <c r="A5" t="s">
        <v>34</v>
      </c>
      <c r="B5">
        <f>AVERAGE(C2:C3)</f>
        <v>0.15</v>
      </c>
      <c r="C5">
        <f>B5^1.5</f>
        <v>5.8094750193111257E-2</v>
      </c>
    </row>
    <row r="6" spans="1:4" ht="14.25" customHeight="1" x14ac:dyDescent="0.35">
      <c r="A6" t="s">
        <v>35</v>
      </c>
      <c r="B6">
        <v>0.45</v>
      </c>
      <c r="C6">
        <f>B6^1.5</f>
        <v>0.30186917696247162</v>
      </c>
    </row>
    <row r="7" spans="1:4" ht="14.25" customHeight="1" x14ac:dyDescent="0.35">
      <c r="A7" t="s">
        <v>36</v>
      </c>
      <c r="B7">
        <v>0.18</v>
      </c>
      <c r="C7">
        <f>B7^1.5</f>
        <v>7.6367532368147126E-2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Normal="100" workbookViewId="0">
      <selection activeCell="A13" sqref="A13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6" customWidth="1"/>
    <col min="4" max="4" width="45" customWidth="1"/>
  </cols>
  <sheetData>
    <row r="1" spans="1:4" ht="14.25" customHeight="1" x14ac:dyDescent="0.35">
      <c r="A1" s="22" t="s">
        <v>0</v>
      </c>
      <c r="B1" s="25" t="s">
        <v>28</v>
      </c>
      <c r="C1" s="23" t="s">
        <v>38</v>
      </c>
      <c r="D1" s="22" t="s">
        <v>5</v>
      </c>
    </row>
    <row r="2" spans="1:4" ht="15" customHeight="1" x14ac:dyDescent="0.35">
      <c r="A2" s="8" t="s">
        <v>39</v>
      </c>
      <c r="B2" s="8">
        <v>0.19700000000000001</v>
      </c>
      <c r="C2" s="8">
        <f>AVERAGE(B2:B2)</f>
        <v>0.19700000000000001</v>
      </c>
      <c r="D2" s="26" t="s">
        <v>40</v>
      </c>
    </row>
    <row r="3" spans="1:4" ht="15" customHeight="1" x14ac:dyDescent="0.35">
      <c r="A3" s="8" t="s">
        <v>41</v>
      </c>
      <c r="B3" s="8">
        <v>0.23300000000000001</v>
      </c>
      <c r="C3" s="8">
        <f>AVERAGE(B3:B3)</f>
        <v>0.23300000000000001</v>
      </c>
      <c r="D3" s="26" t="s">
        <v>40</v>
      </c>
    </row>
    <row r="4" spans="1:4" ht="15" customHeight="1" x14ac:dyDescent="0.35">
      <c r="A4" s="8" t="s">
        <v>42</v>
      </c>
      <c r="B4" s="8">
        <v>0.4</v>
      </c>
      <c r="C4" s="8">
        <f>AVERAGE(B4:B4)</f>
        <v>0.4</v>
      </c>
      <c r="D4" s="26" t="s">
        <v>40</v>
      </c>
    </row>
    <row r="5" spans="1:4" ht="15" customHeight="1" x14ac:dyDescent="0.35">
      <c r="A5" s="8" t="s">
        <v>43</v>
      </c>
      <c r="B5" s="8">
        <v>0.41799999999999998</v>
      </c>
      <c r="C5" s="8">
        <f>AVERAGE(B5:B5)</f>
        <v>0.41799999999999998</v>
      </c>
      <c r="D5" s="26" t="s">
        <v>40</v>
      </c>
    </row>
    <row r="6" spans="1:4" ht="15" customHeight="1" x14ac:dyDescent="0.35">
      <c r="A6" s="8" t="s">
        <v>44</v>
      </c>
      <c r="B6" s="8">
        <v>0.05</v>
      </c>
      <c r="C6" s="8">
        <f>AVERAGE(B6:B6)</f>
        <v>0.05</v>
      </c>
      <c r="D6" s="26" t="s">
        <v>45</v>
      </c>
    </row>
    <row r="7" spans="1:4" ht="14.25" customHeight="1" x14ac:dyDescent="0.35">
      <c r="A7" s="8"/>
      <c r="B7" s="8"/>
      <c r="C7" s="8"/>
      <c r="D7" s="8"/>
    </row>
    <row r="8" spans="1:4" ht="14.25" customHeight="1" x14ac:dyDescent="0.35">
      <c r="A8" s="8"/>
      <c r="B8" s="8"/>
      <c r="C8" s="8"/>
      <c r="D8" s="8"/>
    </row>
    <row r="9" spans="1:4" ht="14.25" customHeight="1" x14ac:dyDescent="0.35">
      <c r="A9" s="27"/>
    </row>
    <row r="11" spans="1:4" ht="14.25" customHeight="1" x14ac:dyDescent="0.35">
      <c r="B11" t="s">
        <v>32</v>
      </c>
      <c r="C11" t="s">
        <v>33</v>
      </c>
    </row>
    <row r="12" spans="1:4" ht="14.25" customHeight="1" x14ac:dyDescent="0.35">
      <c r="A12" t="s">
        <v>46</v>
      </c>
      <c r="B12">
        <f>AVERAGE(C2:C8)</f>
        <v>0.2596</v>
      </c>
      <c r="C12">
        <f>B12^1.5</f>
        <v>0.13226868388246704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Normal="100" workbookViewId="0">
      <selection activeCell="A4" sqref="A4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6" customWidth="1"/>
    <col min="4" max="4" width="45" customWidth="1"/>
  </cols>
  <sheetData>
    <row r="1" spans="1:4" ht="14.25" customHeight="1" x14ac:dyDescent="0.35">
      <c r="A1" s="22" t="s">
        <v>0</v>
      </c>
      <c r="B1" s="22" t="s">
        <v>28</v>
      </c>
      <c r="C1" s="23" t="s">
        <v>47</v>
      </c>
      <c r="D1" s="22" t="s">
        <v>5</v>
      </c>
    </row>
    <row r="2" spans="1:4" ht="14.25" customHeight="1" x14ac:dyDescent="0.35">
      <c r="A2" t="s">
        <v>48</v>
      </c>
      <c r="B2" s="28">
        <v>5.1999999999999998E-2</v>
      </c>
      <c r="C2" s="28">
        <v>5.1999999999999998E-2</v>
      </c>
      <c r="D2" t="s">
        <v>21</v>
      </c>
    </row>
    <row r="3" spans="1:4" ht="14.25" customHeight="1" x14ac:dyDescent="0.35">
      <c r="A3" t="s">
        <v>49</v>
      </c>
      <c r="B3" s="28">
        <v>0.125</v>
      </c>
      <c r="C3" s="28">
        <v>0.125</v>
      </c>
      <c r="D3" t="s">
        <v>21</v>
      </c>
    </row>
    <row r="4" spans="1:4" ht="14.25" customHeight="1" x14ac:dyDescent="0.35">
      <c r="A4" t="s">
        <v>83</v>
      </c>
      <c r="B4" s="28">
        <v>9.8000000000000004E-2</v>
      </c>
      <c r="C4" s="28">
        <v>9.8000000000000004E-2</v>
      </c>
      <c r="D4" t="s">
        <v>21</v>
      </c>
    </row>
    <row r="5" spans="1:4" ht="14.25" customHeight="1" x14ac:dyDescent="0.35">
      <c r="B5" t="s">
        <v>32</v>
      </c>
      <c r="C5" t="s">
        <v>33</v>
      </c>
    </row>
    <row r="6" spans="1:4" ht="14.25" customHeight="1" x14ac:dyDescent="0.35">
      <c r="A6" t="s">
        <v>34</v>
      </c>
      <c r="B6" s="28">
        <f>AVERAGE(C2:C4)</f>
        <v>9.1666666666666674E-2</v>
      </c>
      <c r="C6">
        <f>B6^1.5</f>
        <v>2.7753461579227007E-2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zoomScaleNormal="100" workbookViewId="0">
      <selection activeCell="E11" sqref="E11"/>
    </sheetView>
  </sheetViews>
  <sheetFormatPr defaultColWidth="8.6328125" defaultRowHeight="14.5" x14ac:dyDescent="0.35"/>
  <cols>
    <col min="1" max="1" width="23.1796875" customWidth="1"/>
    <col min="4" max="4" width="9.36328125" customWidth="1"/>
    <col min="5" max="5" width="73.36328125" customWidth="1"/>
    <col min="6" max="6" width="35.453125" customWidth="1"/>
  </cols>
  <sheetData>
    <row r="1" spans="1:6" ht="28.5" customHeight="1" x14ac:dyDescent="0.35">
      <c r="A1" s="22" t="s">
        <v>0</v>
      </c>
      <c r="B1" s="22" t="s">
        <v>28</v>
      </c>
      <c r="C1" s="23" t="s">
        <v>50</v>
      </c>
      <c r="D1" s="22" t="s">
        <v>51</v>
      </c>
      <c r="E1" s="22" t="s">
        <v>52</v>
      </c>
      <c r="F1" s="22" t="s">
        <v>5</v>
      </c>
    </row>
    <row r="6" spans="1:6" ht="14.25" customHeight="1" x14ac:dyDescent="0.35">
      <c r="B6" t="s">
        <v>32</v>
      </c>
      <c r="C6" t="s">
        <v>33</v>
      </c>
    </row>
    <row r="7" spans="1:6" ht="14.25" customHeight="1" x14ac:dyDescent="0.35">
      <c r="A7" t="s">
        <v>34</v>
      </c>
      <c r="B7" t="e">
        <f>AVERAGE(#REF!)</f>
        <v>#REF!</v>
      </c>
      <c r="C7" t="e">
        <f>B7^1.5</f>
        <v>#REF!</v>
      </c>
    </row>
    <row r="8" spans="1:6" ht="14.25" customHeight="1" x14ac:dyDescent="0.35">
      <c r="A8" t="s">
        <v>35</v>
      </c>
    </row>
    <row r="9" spans="1:6" ht="14.25" customHeight="1" x14ac:dyDescent="0.35">
      <c r="A9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zoomScaleNormal="100" workbookViewId="0">
      <selection activeCell="E12" sqref="E12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6" customWidth="1"/>
    <col min="4" max="4" width="12" customWidth="1"/>
    <col min="5" max="5" width="55" customWidth="1"/>
    <col min="6" max="6" width="45" customWidth="1"/>
  </cols>
  <sheetData>
    <row r="1" spans="1:6" ht="14.25" customHeight="1" x14ac:dyDescent="0.35">
      <c r="A1" s="22" t="s">
        <v>0</v>
      </c>
      <c r="B1" s="22" t="s">
        <v>28</v>
      </c>
      <c r="C1" s="23" t="s">
        <v>47</v>
      </c>
      <c r="D1" s="22" t="s">
        <v>51</v>
      </c>
      <c r="E1" s="22" t="s">
        <v>52</v>
      </c>
      <c r="F1" s="22" t="s">
        <v>5</v>
      </c>
    </row>
    <row r="2" spans="1:6" ht="14.25" customHeight="1" x14ac:dyDescent="0.35">
      <c r="A2" s="8" t="s">
        <v>53</v>
      </c>
      <c r="B2" s="8" t="s">
        <v>54</v>
      </c>
      <c r="C2" s="8">
        <f>AVERAGE(0.79,0.86)</f>
        <v>0.82499999999999996</v>
      </c>
      <c r="D2" s="29"/>
      <c r="E2" s="8"/>
      <c r="F2" s="8" t="s">
        <v>55</v>
      </c>
    </row>
    <row r="3" spans="1:6" ht="14.25" customHeight="1" x14ac:dyDescent="0.35">
      <c r="A3" s="8" t="s">
        <v>56</v>
      </c>
      <c r="B3" s="8">
        <v>0.77</v>
      </c>
      <c r="C3" s="8">
        <v>0.77</v>
      </c>
      <c r="D3" s="29"/>
      <c r="E3" s="8"/>
      <c r="F3" s="8" t="s">
        <v>57</v>
      </c>
    </row>
    <row r="4" spans="1:6" ht="14.25" customHeight="1" x14ac:dyDescent="0.35">
      <c r="A4" t="s">
        <v>58</v>
      </c>
      <c r="B4">
        <v>0.49</v>
      </c>
      <c r="C4">
        <v>0.49</v>
      </c>
      <c r="F4" t="s">
        <v>19</v>
      </c>
    </row>
    <row r="7" spans="1:6" ht="14.25" customHeight="1" x14ac:dyDescent="0.35">
      <c r="B7" t="s">
        <v>32</v>
      </c>
      <c r="C7" t="s">
        <v>33</v>
      </c>
    </row>
    <row r="8" spans="1:6" ht="14.25" customHeight="1" x14ac:dyDescent="0.35">
      <c r="A8" t="s">
        <v>34</v>
      </c>
      <c r="B8">
        <f>AVERAGE(C2:C4)</f>
        <v>0.69499999999999995</v>
      </c>
      <c r="C8">
        <f>B8^1.5</f>
        <v>0.57939828701852403</v>
      </c>
    </row>
    <row r="9" spans="1:6" ht="14.25" customHeight="1" x14ac:dyDescent="0.35">
      <c r="A9" t="s">
        <v>35</v>
      </c>
      <c r="B9">
        <v>0.35</v>
      </c>
      <c r="C9">
        <f>B9^1.5</f>
        <v>0.20706279240848652</v>
      </c>
    </row>
    <row r="10" spans="1:6" ht="14.25" customHeight="1" x14ac:dyDescent="0.35">
      <c r="A10" t="s">
        <v>36</v>
      </c>
      <c r="B10">
        <v>0.56000000000000005</v>
      </c>
      <c r="C10">
        <f>B10^1.5</f>
        <v>0.41906562731868152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zoomScaleNormal="100" workbookViewId="0">
      <selection activeCell="D1" sqref="D1"/>
    </sheetView>
  </sheetViews>
  <sheetFormatPr defaultColWidth="8.6328125" defaultRowHeight="14.5" x14ac:dyDescent="0.35"/>
  <cols>
    <col min="1" max="1" width="16.453125" customWidth="1"/>
    <col min="2" max="2" width="7.7265625" customWidth="1"/>
    <col min="3" max="3" width="11.81640625" customWidth="1"/>
    <col min="4" max="4" width="16.453125" customWidth="1"/>
  </cols>
  <sheetData>
    <row r="1" spans="1:4" ht="28.5" customHeight="1" x14ac:dyDescent="0.35">
      <c r="A1" s="22" t="s">
        <v>0</v>
      </c>
      <c r="B1" s="22" t="s">
        <v>28</v>
      </c>
      <c r="C1" s="23" t="s">
        <v>38</v>
      </c>
      <c r="D1" s="22" t="s">
        <v>5</v>
      </c>
    </row>
    <row r="2" spans="1:4" ht="14.25" customHeight="1" x14ac:dyDescent="0.35">
      <c r="A2" t="s">
        <v>59</v>
      </c>
      <c r="B2">
        <v>0.26</v>
      </c>
      <c r="C2">
        <v>0.26</v>
      </c>
      <c r="D2" t="s">
        <v>25</v>
      </c>
    </row>
    <row r="3" spans="1:4" ht="14.25" customHeight="1" x14ac:dyDescent="0.35">
      <c r="A3" t="s">
        <v>60</v>
      </c>
      <c r="B3">
        <v>0.20499999999999999</v>
      </c>
      <c r="C3">
        <v>0.20499999999999999</v>
      </c>
      <c r="D3" t="s">
        <v>61</v>
      </c>
    </row>
    <row r="4" spans="1:4" ht="16.5" customHeight="1" x14ac:dyDescent="0.35">
      <c r="A4" t="s">
        <v>62</v>
      </c>
      <c r="B4">
        <v>0.21099999999999999</v>
      </c>
      <c r="C4">
        <v>0.21099999999999999</v>
      </c>
      <c r="D4" t="s">
        <v>63</v>
      </c>
    </row>
    <row r="5" spans="1:4" ht="16.5" customHeight="1" x14ac:dyDescent="0.35">
      <c r="A5" t="s">
        <v>64</v>
      </c>
      <c r="B5">
        <v>0.182</v>
      </c>
      <c r="C5">
        <v>0.182</v>
      </c>
      <c r="D5" t="s">
        <v>65</v>
      </c>
    </row>
    <row r="6" spans="1:4" ht="14.25" customHeight="1" x14ac:dyDescent="0.35">
      <c r="A6" t="s">
        <v>66</v>
      </c>
      <c r="B6">
        <v>0.11799999999999999</v>
      </c>
      <c r="C6">
        <v>0.11799999999999999</v>
      </c>
      <c r="D6" t="s">
        <v>67</v>
      </c>
    </row>
    <row r="7" spans="1:4" ht="13.5" customHeight="1" x14ac:dyDescent="0.35">
      <c r="A7" t="s">
        <v>68</v>
      </c>
      <c r="B7">
        <v>0.27400000000000002</v>
      </c>
      <c r="C7">
        <v>0.27400000000000002</v>
      </c>
      <c r="D7" t="s">
        <v>69</v>
      </c>
    </row>
    <row r="9" spans="1:4" ht="14.25" customHeight="1" x14ac:dyDescent="0.35">
      <c r="B9" t="s">
        <v>32</v>
      </c>
      <c r="C9" t="s">
        <v>33</v>
      </c>
    </row>
    <row r="10" spans="1:4" ht="14.25" customHeight="1" x14ac:dyDescent="0.35">
      <c r="A10" t="s">
        <v>34</v>
      </c>
      <c r="B10">
        <f>AVERAGE(C2:C7)</f>
        <v>0.20833333333333334</v>
      </c>
      <c r="C10">
        <f>B10^1.5</f>
        <v>9.5090721789091365E-2</v>
      </c>
    </row>
    <row r="11" spans="1:4" ht="14.25" customHeight="1" x14ac:dyDescent="0.35">
      <c r="A11" t="s">
        <v>35</v>
      </c>
      <c r="B11">
        <v>0.35</v>
      </c>
      <c r="C11">
        <f>B11^1.5</f>
        <v>0.20706279240848652</v>
      </c>
    </row>
    <row r="12" spans="1:4" ht="14.25" customHeight="1" x14ac:dyDescent="0.35">
      <c r="A12" t="s">
        <v>36</v>
      </c>
      <c r="B12">
        <v>0.56000000000000005</v>
      </c>
      <c r="C12">
        <f>B12^1.5</f>
        <v>0.41906562731868152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zoomScaleNormal="100" workbookViewId="0">
      <selection activeCell="C6" sqref="C6"/>
    </sheetView>
  </sheetViews>
  <sheetFormatPr defaultColWidth="8.6328125" defaultRowHeight="14.5" x14ac:dyDescent="0.35"/>
  <cols>
    <col min="1" max="1" width="29.08984375" customWidth="1"/>
    <col min="2" max="6" width="12" customWidth="1"/>
    <col min="7" max="7" width="10" customWidth="1"/>
    <col min="8" max="8" width="25" customWidth="1"/>
  </cols>
  <sheetData>
    <row r="1" spans="1:8" ht="28.5" customHeight="1" x14ac:dyDescent="0.35">
      <c r="A1" s="22" t="s">
        <v>0</v>
      </c>
      <c r="B1" s="22" t="s">
        <v>70</v>
      </c>
      <c r="C1" s="22" t="s">
        <v>28</v>
      </c>
      <c r="D1" s="22" t="s">
        <v>47</v>
      </c>
      <c r="E1" s="22" t="s">
        <v>71</v>
      </c>
      <c r="F1" s="22" t="s">
        <v>72</v>
      </c>
      <c r="G1" s="22" t="s">
        <v>73</v>
      </c>
      <c r="H1" s="22" t="s">
        <v>5</v>
      </c>
    </row>
    <row r="2" spans="1:8" ht="15.75" customHeight="1" x14ac:dyDescent="0.4">
      <c r="A2" s="8" t="s">
        <v>74</v>
      </c>
      <c r="B2" s="8" t="s">
        <v>75</v>
      </c>
      <c r="C2" s="8" t="s">
        <v>76</v>
      </c>
      <c r="D2" s="8">
        <v>0.57499999999999996</v>
      </c>
      <c r="E2" s="8" t="s">
        <v>77</v>
      </c>
      <c r="F2" s="8">
        <v>3</v>
      </c>
      <c r="G2" s="8" t="s">
        <v>78</v>
      </c>
      <c r="H2" s="30" t="s">
        <v>79</v>
      </c>
    </row>
    <row r="5" spans="1:8" ht="14.25" customHeight="1" x14ac:dyDescent="0.35">
      <c r="B5" t="s">
        <v>80</v>
      </c>
      <c r="C5" t="s">
        <v>81</v>
      </c>
    </row>
    <row r="6" spans="1:8" ht="14.25" customHeight="1" x14ac:dyDescent="0.35">
      <c r="A6" t="s">
        <v>46</v>
      </c>
      <c r="B6">
        <v>0.57499999999999996</v>
      </c>
      <c r="C6">
        <v>0.22500000000000001</v>
      </c>
      <c r="G6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</vt:lpstr>
      <vt:lpstr>Category average</vt:lpstr>
      <vt:lpstr>shells</vt:lpstr>
      <vt:lpstr>Pomaces</vt:lpstr>
      <vt:lpstr>Fresh Fruits &amp; Vegetables</vt:lpstr>
      <vt:lpstr>Nuts, seeds and grains</vt:lpstr>
      <vt:lpstr>hulls</vt:lpstr>
      <vt:lpstr>stalks and straw</vt:lpstr>
      <vt:lpstr>leaves</vt:lpstr>
      <vt:lpstr>Woody 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Kieran Heeley</cp:lastModifiedBy>
  <cp:revision>0</cp:revision>
  <dcterms:created xsi:type="dcterms:W3CDTF">2025-12-11T00:28:31Z</dcterms:created>
  <dcterms:modified xsi:type="dcterms:W3CDTF">2026-10-16T16:44:11Z</dcterms:modified>
  <dc:language>en-US</dc:language>
</cp:coreProperties>
</file>